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S\OneDrive\Desktop\Buisiness_Perfromance_Intelligence_Project\Excel\"/>
    </mc:Choice>
  </mc:AlternateContent>
  <xr:revisionPtr revIDLastSave="0" documentId="8_{228A548A-84AA-416E-9819-B6401881A3D0}" xr6:coauthVersionLast="47" xr6:coauthVersionMax="47" xr10:uidLastSave="{00000000-0000-0000-0000-000000000000}"/>
  <bookViews>
    <workbookView xWindow="-110" yWindow="-110" windowWidth="25820" windowHeight="15500" activeTab="1" xr2:uid="{5CA10B91-E990-4995-9C20-9BF70FB2F991}"/>
  </bookViews>
  <sheets>
    <sheet name="Customer Revenue" sheetId="1" r:id="rId1"/>
    <sheet name="Dashboard" sheetId="2" r:id="rId2"/>
  </sheets>
  <definedNames>
    <definedName name="ExternalData_2" localSheetId="0" hidden="1">'Customer Revenue'!$C$1:$C$14</definedName>
  </definedNames>
  <calcPr calcId="191029"/>
  <pivotCaches>
    <pivotCache cacheId="3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BADE8-EA2E-4DD0-9C23-B8B893479054}" keepAlive="1" name="Query - Active_Customers" description="Connection to the 'Active_Customers' query in the workbook." type="5" refreshedVersion="8" background="1" saveData="1">
    <dbPr connection="Provider=Microsoft.Mashup.OleDb.1;Data Source=$Workbook$;Location=Active_Customers;Extended Properties=&quot;&quot;" command="SELECT * FROM [Active_Customers]"/>
  </connection>
  <connection id="2" xr16:uid="{6302DD91-33F2-4276-83DA-DCD4008E270B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</connections>
</file>

<file path=xl/sharedStrings.xml><?xml version="1.0" encoding="utf-8"?>
<sst xmlns="http://schemas.openxmlformats.org/spreadsheetml/2006/main" count="46" uniqueCount="28">
  <si>
    <t>ActiveCustomers</t>
  </si>
  <si>
    <t>Total_Revenue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</si>
  <si>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</si>
  <si>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</si>
  <si>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</si>
  <si>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</si>
  <si>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</si>
  <si>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</si>
  <si>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</si>
  <si>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</si>
  <si>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</si>
  <si>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</si>
  <si>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</si>
  <si>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</si>
  <si>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</si>
  <si>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</si>
  <si>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Total Revenue By month</t>
  </si>
  <si>
    <t>2010</t>
  </si>
  <si>
    <t>2011</t>
  </si>
  <si>
    <t>Active customers per month</t>
  </si>
  <si>
    <t>2010 Total</t>
  </si>
  <si>
    <t>2011 Total</t>
  </si>
  <si>
    <t xml:space="preserve">Years </t>
  </si>
  <si>
    <t>Year</t>
  </si>
  <si>
    <t>Total Revenue By Year/Month</t>
  </si>
  <si>
    <t xml:space="preserve">Active Customers By Year/Month </t>
  </si>
  <si>
    <t>Year/Month</t>
  </si>
  <si>
    <t>Avg Revenue Per  Active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</si>
</sst>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pivotButton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mmm/yyyy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mmm/yyyy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Total_Revenue By Year/Month</a:t>
            </a:r>
          </a:p>
        </c:rich>
      </c:tx>
      <c:layout>
        <c:manualLayout>
          <c:xMode val="edge"/>
          <c:yMode val="edge"/>
          <c:x val="0.4502050551435513"/>
          <c:y val="3.1818340889207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Revenue'!$C$1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'Customer Revenue'!$A$2:$A$14</c:f>
              <c:numCache>
                <c:formatCode>mmm/yyyy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'Customer Revenue'!$C$2:$C$14</c:f>
              <c:numCache>
                <c:formatCode>General</c:formatCode>
                <c:ptCount val="13"/>
                <c:pt idx="0">
                  <c:v>823746.14</c:v>
                </c:pt>
                <c:pt idx="1">
                  <c:v>691364.56</c:v>
                </c:pt>
                <c:pt idx="2">
                  <c:v>523631.89</c:v>
                </c:pt>
                <c:pt idx="3">
                  <c:v>717639.36</c:v>
                </c:pt>
                <c:pt idx="4">
                  <c:v>537808.62</c:v>
                </c:pt>
                <c:pt idx="5">
                  <c:v>770536.02</c:v>
                </c:pt>
                <c:pt idx="6">
                  <c:v>761739.9</c:v>
                </c:pt>
                <c:pt idx="7">
                  <c:v>719221.19</c:v>
                </c:pt>
                <c:pt idx="8">
                  <c:v>759138.38</c:v>
                </c:pt>
                <c:pt idx="9">
                  <c:v>1058590.17</c:v>
                </c:pt>
                <c:pt idx="10">
                  <c:v>1154979.3</c:v>
                </c:pt>
                <c:pt idx="11">
                  <c:v>1509496.33</c:v>
                </c:pt>
                <c:pt idx="12">
                  <c:v>638792.68000000005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4-4F7B-B6DC-DAC84C159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8927552"/>
        <c:axId val="228931392"/>
      </c:lineChart>
      <c:dateAx>
        <c:axId val="228927552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31392"/>
        <c:crosses val="autoZero"/>
        <c:auto val="1"/>
        <c:lblOffset val="100"/>
        <c:baseTimeUnit val="months"/>
      </c:dateAx>
      <c:valAx>
        <c:axId val="22893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275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[Excel_Trend_Per_Customer_Revenue.xlsx]Customer Revenue!PivotTable2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ActiveCustomers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'Customer Revenue'!$G$23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'Customer Revenue'!$E$24:$F$37</c:f>
              <c:multiLvlStrCache>
                <c:ptCount val="13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</c:lvl>
                <c:lvl>
                  <c:pt idx="0">
                    <c:v>2010</c:v>
                  </c:pt>
                  <c:pt idx="1">
                    <c:v>2011</c:v>
                  </c:pt>
                </c:lvl>
              </c:multiLvlStrCache>
            </c:multiLvlStrRef>
          </c:cat>
          <c:val>
            <c:numRef>
              <c:f>'Customer Revenue'!$G$24:$G$37</c:f>
              <c:numCache>
                <c:formatCode>General</c:formatCode>
                <c:ptCount val="13"/>
                <c:pt idx="0">
                  <c:v>885</c:v>
                </c:pt>
                <c:pt idx="1">
                  <c:v>741</c:v>
                </c:pt>
                <c:pt idx="2">
                  <c:v>758</c:v>
                </c:pt>
                <c:pt idx="3">
                  <c:v>974</c:v>
                </c:pt>
                <c:pt idx="4">
                  <c:v>856</c:v>
                </c:pt>
                <c:pt idx="5">
                  <c:v>1056</c:v>
                </c:pt>
                <c:pt idx="6">
                  <c:v>991</c:v>
                </c:pt>
                <c:pt idx="7">
                  <c:v>949</c:v>
                </c:pt>
                <c:pt idx="8">
                  <c:v>935</c:v>
                </c:pt>
                <c:pt idx="9">
                  <c:v>1266</c:v>
                </c:pt>
                <c:pt idx="10">
                  <c:v>1364</c:v>
                </c:pt>
                <c:pt idx="11">
                  <c:v>1664</c:v>
                </c:pt>
                <c:pt idx="12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2-4370-B99F-1CCC44C1D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207999"/>
        <c:axId val="619208479"/>
      </c:lineChart>
      <c:catAx>
        <c:axId val="61920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08479"/>
        <c:crosses val="autoZero"/>
        <c:auto val="1"/>
        <c:lblAlgn val="ctr"/>
        <c:lblOffset val="100"/>
        <c:noMultiLvlLbl val="0"/>
      </c:catAx>
      <c:valAx>
        <c:axId val="6192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0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 Active Customer 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Revenue'!$D$1</c:f>
              <c:strCache>
                <c:ptCount val="1"/>
                <c:pt idx="0">
                  <c:v>Avg Revenue Per  Active 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'Customer Revenue'!$A$2:$A$14</c:f>
              <c:numCache>
                <c:formatCode>mmm/yyyy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'Customer Revenue'!$D$2:$D$14</c:f>
              <c:numCache>
                <c:formatCode>General</c:formatCode>
                <c:ptCount val="13"/>
                <c:pt idx="0">
                  <c:v>930.78659887005654</c:v>
                </c:pt>
                <c:pt idx="1">
                  <c:v>933.01560053981109</c:v>
                </c:pt>
                <c:pt idx="2">
                  <c:v>690.80724274406339</c:v>
                </c:pt>
                <c:pt idx="3">
                  <c:v>736.79605749486655</c:v>
                </c:pt>
                <c:pt idx="4">
                  <c:v>628.28109813084109</c:v>
                </c:pt>
                <c:pt idx="5">
                  <c:v>729.67426136363633</c:v>
                </c:pt>
                <c:pt idx="6">
                  <c:v>768.65782038345105</c:v>
                </c:pt>
                <c:pt idx="7">
                  <c:v>757.87269757639615</c:v>
                </c:pt>
                <c:pt idx="8">
                  <c:v>811.91270588235295</c:v>
                </c:pt>
                <c:pt idx="9">
                  <c:v>836.16917061611366</c:v>
                </c:pt>
                <c:pt idx="10">
                  <c:v>846.75901759530791</c:v>
                </c:pt>
                <c:pt idx="11">
                  <c:v>907.14923677884622</c:v>
                </c:pt>
                <c:pt idx="12">
                  <c:v>1038.6872845528455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7-468D-9FDF-54CFE5C41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31679"/>
        <c:axId val="576330719"/>
      </c:lineChart>
      <c:dateAx>
        <c:axId val="576331679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30719"/>
        <c:crosses val="autoZero"/>
        <c:auto val="1"/>
        <c:lblOffset val="100"/>
        <c:baseTimeUnit val="months"/>
      </c:dateAx>
      <c:valAx>
        <c:axId val="57633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3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482600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1AA41B-D451-4595-BBB6-E96A6E95D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44450</xdr:rowOff>
    </xdr:from>
    <xdr:to>
      <xdr:col>25</xdr:col>
      <xdr:colOff>514350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D4B485-4B85-4C9C-A13F-32A4535A5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25</xdr:col>
      <xdr:colOff>508000</xdr:colOff>
      <xdr:row>57</xdr:row>
      <xdr:rowOff>58671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5E0071-ABBC-48CF-8DF2-60345B5C5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" refreshedDate="46080.00486458333" createdVersion="8" refreshedVersion="8" minRefreshableVersion="3" recordCount="13" xr:uid="{08693D0F-2705-49B6-8565-AB6E859DCF7F}">
  <cacheSource type="worksheet">
    <worksheetSource ref="A1:C14" sheet="Customer Revenue"/>
  </cacheSource>
  <cacheFields count="7">
    <cacheField name="MONTHSTART" numFmtId="14">
      <sharedItems containsSemiMixedTypes="0" containsNonDate="0" containsDate="1" containsString="0" minDate="2010-12-01T00:00:00" maxDate="2011-12-02T00:00:00" count="13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  <fieldGroup par="6"/>
    </cacheField>
    <cacheField name="ActiveCustomers" numFmtId="0">
      <sharedItems containsSemiMixedTypes="0" containsString="0" containsNumber="1" containsInteger="1" minValue="615" maxValue="1664"/>
    </cacheField>
    <cacheField name="MONTHSTART2" numFmtId="14">
      <sharedItems containsSemiMixedTypes="0" containsNonDate="0" containsDate="1" containsString="0" minDate="2010-12-01T00:00:00" maxDate="2011-12-02T00:00:00" count="13"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</cacheField>
    <cacheField name="Total_Revenue" numFmtId="0">
      <sharedItems containsSemiMixedTypes="0" containsString="0" containsNumber="1" minValue="523631.89" maxValue="1509496.33"/>
    </cacheField>
    <cacheField name="Months (MONTHSTART)" numFmtId="0" databaseField="0">
      <fieldGroup base="0">
        <rangePr groupBy="months" startDate="2010-12-01T00:00:00" endDate="2011-12-02T00:00:00"/>
        <groupItems count="14">
          <s v="&lt;01-12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1"/>
        </groupItems>
      </fieldGroup>
    </cacheField>
    <cacheField name="Quarters (MONTHSTART)" numFmtId="0" databaseField="0">
      <fieldGroup base="0">
        <rangePr groupBy="quarters" startDate="2010-12-01T00:00:00" endDate="2011-12-02T00:00:00"/>
        <groupItems count="6">
          <s v="&lt;01-12-2010"/>
          <s v="Qtr1"/>
          <s v="Qtr2"/>
          <s v="Qtr3"/>
          <s v="Qtr4"/>
          <s v="&gt;02-12-2011"/>
        </groupItems>
      </fieldGroup>
    </cacheField>
    <cacheField name="Years (MONTHSTART)" numFmtId="0" databaseField="0">
      <fieldGroup base="0">
        <rangePr groupBy="years" startDate="2010-12-01T00:00:00" endDate="2011-12-02T00:00:00"/>
        <groupItems count="4">
          <s v="&lt;01-12-2010"/>
          <s v="2010"/>
          <s v="2011"/>
          <s v="&gt;02-1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885"/>
    <x v="0"/>
    <n v="823746.14"/>
  </r>
  <r>
    <x v="1"/>
    <n v="741"/>
    <x v="1"/>
    <n v="691364.56"/>
  </r>
  <r>
    <x v="2"/>
    <n v="758"/>
    <x v="2"/>
    <n v="523631.89"/>
  </r>
  <r>
    <x v="3"/>
    <n v="974"/>
    <x v="3"/>
    <n v="717639.36"/>
  </r>
  <r>
    <x v="4"/>
    <n v="856"/>
    <x v="4"/>
    <n v="537808.62"/>
  </r>
  <r>
    <x v="5"/>
    <n v="1056"/>
    <x v="5"/>
    <n v="770536.02"/>
  </r>
  <r>
    <x v="6"/>
    <n v="991"/>
    <x v="6"/>
    <n v="761739.9"/>
  </r>
  <r>
    <x v="7"/>
    <n v="949"/>
    <x v="7"/>
    <n v="719221.19"/>
  </r>
  <r>
    <x v="8"/>
    <n v="935"/>
    <x v="8"/>
    <n v="759138.38"/>
  </r>
  <r>
    <x v="9"/>
    <n v="1266"/>
    <x v="9"/>
    <n v="1058590.17"/>
  </r>
  <r>
    <x v="10"/>
    <n v="1364"/>
    <x v="10"/>
    <n v="1154979.3"/>
  </r>
  <r>
    <x v="11"/>
    <n v="1664"/>
    <x v="11"/>
    <n v="1509496.33"/>
  </r>
  <r>
    <x v="12"/>
    <n v="615"/>
    <x v="12"/>
    <n v="638792.68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01260-1561-4D48-A56E-3DA5776D2845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rowHeaderCaption="Month">
  <location ref="A23:C39" firstHeaderRow="1" firstDataRow="1" firstDataCol="2"/>
  <pivotFields count="7">
    <pivotField compact="0" numFmtId="14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numFmtId="14" outline="0" showAll="0"/>
    <pivotField dataField="1" compact="0" outline="0" showAll="0"/>
    <pivotField name="Month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" axis="axisRow" compact="0" outline="0" showAll="0">
      <items count="5">
        <item sd="0" x="0"/>
        <item x="1"/>
        <item x="2"/>
        <item sd="0" x="3"/>
        <item t="default"/>
      </items>
    </pivotField>
  </pivotFields>
  <rowFields count="2">
    <field x="6"/>
    <field x="4"/>
  </rowFields>
  <rowItems count="16">
    <i>
      <x v="1"/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Items count="1">
    <i/>
  </colItems>
  <dataFields count="1">
    <dataField name="Total Revenue By month" fld="3" baseField="4" baseItem="1"/>
  </dataFields>
  <formats count="8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6" type="button" dataOnly="0" labelOnly="1" outline="0" axis="axisRow" fieldPosition="0"/>
    </format>
    <format dxfId="12">
      <pivotArea dataOnly="0" labelOnly="1" fieldPosition="0">
        <references count="1">
          <reference field="6" count="2">
            <x v="1"/>
            <x v="2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4" count="1">
            <x v="12"/>
          </reference>
          <reference field="6" count="1" selected="0">
            <x v="1"/>
          </reference>
        </references>
      </pivotArea>
    </format>
    <format dxfId="9">
      <pivotArea dataOnly="0" labelOnly="1" fieldPosition="0">
        <references count="2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6" count="1" selected="0">
            <x v="2"/>
          </reference>
        </references>
      </pivotArea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DC1BB-AEEE-409D-B499-DFB0FD1148A8}" name="PivotTable2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 rowHeaderCaption="Month">
  <location ref="E23:G37" firstHeaderRow="1" firstDataRow="1" firstDataCol="2"/>
  <pivotFields count="7">
    <pivotField compact="0" numFmtId="14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outline="0" showAll="0"/>
    <pivotField compact="0" numFmtId="14" outline="0" showAll="0"/>
    <pivotField compact="0" outline="0" showAll="0"/>
    <pivotField name="Month"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name="Years " axis="axisRow" compact="0" outline="0" showAll="0" defaultSubtotal="0">
      <items count="4">
        <item x="0"/>
        <item x="1"/>
        <item x="2"/>
        <item x="3"/>
      </items>
    </pivotField>
  </pivotFields>
  <rowFields count="2">
    <field x="6"/>
    <field x="4"/>
  </rowFields>
  <rowItems count="14">
    <i>
      <x v="1"/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Active customers per month" fld="1" baseField="6" baseItem="1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2">
            <x v="1"/>
            <x v="2"/>
          </reference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4" count="1">
            <x v="12"/>
          </reference>
          <reference field="6" count="1" selected="0">
            <x v="1"/>
          </reference>
        </references>
      </pivotArea>
    </format>
    <format dxfId="17">
      <pivotArea dataOnly="0" labelOnly="1" fieldPosition="0">
        <references count="2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6" count="1" selected="0">
            <x v="2"/>
          </reference>
        </references>
      </pivotArea>
    </format>
    <format dxfId="1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6F101-5249-48C2-B826-1896B87B7765}" name="monthly_revenue" displayName="monthly_revenue" ref="B1:D14" totalsRowShown="0" headerRowDxfId="7" dataDxfId="6">
  <autoFilter ref="B1:D14" xr:uid="{D0D6F101-5249-48C2-B826-1896B87B7765}">
    <filterColumn colId="0" hiddenButton="1"/>
    <filterColumn colId="1" hiddenButton="1"/>
    <filterColumn colId="2" hiddenButton="1"/>
  </autoFilter>
  <tableColumns count="3">
    <tableColumn id="1" xr3:uid="{928AEAEB-2BF1-455D-B903-B959E7162F69}" name="ActiveCustomers" dataDxfId="5"/>
    <tableColumn id="2" xr3:uid="{B453F42C-831B-4092-A0EF-3702450DFDC5}" name="Total_Revenue" dataDxfId="4"/>
    <tableColumn id="3" xr3:uid="{04F86BB7-DEC0-4E6A-AFDB-43B1FDDADF7A}" name="Avg Revenue Per  Active Customer" dataDxfId="3">
      <calculatedColumnFormula>monthly_revenue[[#This Row],[Total_Revenue]]/monthly_revenue[[#This Row],[ActiveCustomers]]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FBBC0-9D05-44C6-819D-7A291D1239B4}" name="Table1" displayName="Table1" ref="A1:A14" totalsRowShown="0" headerRowDxfId="0" dataDxfId="1">
  <autoFilter ref="A1:A14" xr:uid="{8DFFBBC0-9D05-44C6-819D-7A291D1239B4}">
    <filterColumn colId="0" hiddenButton="1"/>
  </autoFilter>
  <tableColumns count="1">
    <tableColumn id="1" xr3:uid="{9303C68F-D177-4A59-AB40-D06926340EE4}" name="Year/Month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0F2A-8AEA-4FE2-8D86-C4C448A38908}">
  <dimension ref="A1:G39"/>
  <sheetViews>
    <sheetView zoomScale="71" workbookViewId="0">
      <selection activeCell="D26" sqref="D26"/>
    </sheetView>
  </sheetViews>
  <sheetFormatPr defaultRowHeight="14.5" x14ac:dyDescent="0.35"/>
  <cols>
    <col min="1" max="1" width="23.453125" customWidth="1"/>
    <col min="2" max="2" width="22.7265625" bestFit="1" customWidth="1"/>
    <col min="3" max="3" width="30.7265625" bestFit="1" customWidth="1"/>
    <col min="4" max="4" width="43.7265625" bestFit="1" customWidth="1"/>
    <col min="5" max="5" width="36.1796875" bestFit="1" customWidth="1"/>
    <col min="6" max="6" width="32.90625" bestFit="1" customWidth="1"/>
    <col min="7" max="7" width="36.1796875" bestFit="1" customWidth="1"/>
    <col min="8" max="8" width="21" bestFit="1" customWidth="1"/>
    <col min="10" max="10" width="15.08984375" bestFit="1" customWidth="1"/>
    <col min="11" max="11" width="36.1796875" bestFit="1" customWidth="1"/>
    <col min="12" max="12" width="23" bestFit="1" customWidth="1"/>
  </cols>
  <sheetData>
    <row r="1" spans="1:4" ht="21" x14ac:dyDescent="0.5">
      <c r="A1" s="4" t="s">
        <v>26</v>
      </c>
      <c r="B1" s="1" t="s">
        <v>0</v>
      </c>
      <c r="C1" s="1" t="s">
        <v>1</v>
      </c>
      <c r="D1" s="1" t="s">
        <v>27</v>
      </c>
    </row>
    <row r="2" spans="1:4" ht="21" x14ac:dyDescent="0.5">
      <c r="A2" s="3">
        <v>40513</v>
      </c>
      <c r="B2" s="1">
        <v>885</v>
      </c>
      <c r="C2" s="1">
        <v>823746.14</v>
      </c>
      <c r="D2" s="1">
        <f>monthly_revenue[[#This Row],[Total_Revenue]]/monthly_revenue[[#This Row],[ActiveCustomers]]</f>
        <v>930.78659887005654</v>
      </c>
    </row>
    <row r="3" spans="1:4" ht="21" x14ac:dyDescent="0.5">
      <c r="A3" s="3">
        <v>40544</v>
      </c>
      <c r="B3" s="1">
        <v>741</v>
      </c>
      <c r="C3" s="1">
        <v>691364.56</v>
      </c>
      <c r="D3" s="1">
        <f>monthly_revenue[[#This Row],[Total_Revenue]]/monthly_revenue[[#This Row],[ActiveCustomers]]</f>
        <v>933.01560053981109</v>
      </c>
    </row>
    <row r="4" spans="1:4" ht="21" x14ac:dyDescent="0.5">
      <c r="A4" s="3">
        <v>40575</v>
      </c>
      <c r="B4" s="1">
        <v>758</v>
      </c>
      <c r="C4" s="1">
        <v>523631.89</v>
      </c>
      <c r="D4" s="1">
        <f>monthly_revenue[[#This Row],[Total_Revenue]]/monthly_revenue[[#This Row],[ActiveCustomers]]</f>
        <v>690.80724274406339</v>
      </c>
    </row>
    <row r="5" spans="1:4" ht="21" x14ac:dyDescent="0.5">
      <c r="A5" s="3">
        <v>40603</v>
      </c>
      <c r="B5" s="1">
        <v>974</v>
      </c>
      <c r="C5" s="1">
        <v>717639.36</v>
      </c>
      <c r="D5" s="1">
        <f>monthly_revenue[[#This Row],[Total_Revenue]]/monthly_revenue[[#This Row],[ActiveCustomers]]</f>
        <v>736.79605749486655</v>
      </c>
    </row>
    <row r="6" spans="1:4" ht="21" x14ac:dyDescent="0.5">
      <c r="A6" s="3">
        <v>40634</v>
      </c>
      <c r="B6" s="1">
        <v>856</v>
      </c>
      <c r="C6" s="1">
        <v>537808.62</v>
      </c>
      <c r="D6" s="1">
        <f>monthly_revenue[[#This Row],[Total_Revenue]]/monthly_revenue[[#This Row],[ActiveCustomers]]</f>
        <v>628.28109813084109</v>
      </c>
    </row>
    <row r="7" spans="1:4" ht="21" x14ac:dyDescent="0.5">
      <c r="A7" s="3">
        <v>40664</v>
      </c>
      <c r="B7" s="1">
        <v>1056</v>
      </c>
      <c r="C7" s="1">
        <v>770536.02</v>
      </c>
      <c r="D7" s="1">
        <f>monthly_revenue[[#This Row],[Total_Revenue]]/monthly_revenue[[#This Row],[ActiveCustomers]]</f>
        <v>729.67426136363633</v>
      </c>
    </row>
    <row r="8" spans="1:4" ht="21" x14ac:dyDescent="0.5">
      <c r="A8" s="3">
        <v>40695</v>
      </c>
      <c r="B8" s="1">
        <v>991</v>
      </c>
      <c r="C8" s="1">
        <v>761739.9</v>
      </c>
      <c r="D8" s="1">
        <f>monthly_revenue[[#This Row],[Total_Revenue]]/monthly_revenue[[#This Row],[ActiveCustomers]]</f>
        <v>768.65782038345105</v>
      </c>
    </row>
    <row r="9" spans="1:4" ht="21" x14ac:dyDescent="0.5">
      <c r="A9" s="3">
        <v>40725</v>
      </c>
      <c r="B9" s="1">
        <v>949</v>
      </c>
      <c r="C9" s="1">
        <v>719221.19</v>
      </c>
      <c r="D9" s="1">
        <f>monthly_revenue[[#This Row],[Total_Revenue]]/monthly_revenue[[#This Row],[ActiveCustomers]]</f>
        <v>757.87269757639615</v>
      </c>
    </row>
    <row r="10" spans="1:4" ht="21" x14ac:dyDescent="0.5">
      <c r="A10" s="3">
        <v>40756</v>
      </c>
      <c r="B10" s="1">
        <v>935</v>
      </c>
      <c r="C10" s="1">
        <v>759138.38</v>
      </c>
      <c r="D10" s="1">
        <f>monthly_revenue[[#This Row],[Total_Revenue]]/monthly_revenue[[#This Row],[ActiveCustomers]]</f>
        <v>811.91270588235295</v>
      </c>
    </row>
    <row r="11" spans="1:4" ht="21" x14ac:dyDescent="0.5">
      <c r="A11" s="3">
        <v>40787</v>
      </c>
      <c r="B11" s="1">
        <v>1266</v>
      </c>
      <c r="C11" s="1">
        <v>1058590.17</v>
      </c>
      <c r="D11" s="1">
        <f>monthly_revenue[[#This Row],[Total_Revenue]]/monthly_revenue[[#This Row],[ActiveCustomers]]</f>
        <v>836.16917061611366</v>
      </c>
    </row>
    <row r="12" spans="1:4" ht="21" x14ac:dyDescent="0.5">
      <c r="A12" s="3">
        <v>40817</v>
      </c>
      <c r="B12" s="1">
        <v>1364</v>
      </c>
      <c r="C12" s="1">
        <v>1154979.3</v>
      </c>
      <c r="D12" s="1">
        <f>monthly_revenue[[#This Row],[Total_Revenue]]/monthly_revenue[[#This Row],[ActiveCustomers]]</f>
        <v>846.75901759530791</v>
      </c>
    </row>
    <row r="13" spans="1:4" ht="21" x14ac:dyDescent="0.5">
      <c r="A13" s="3">
        <v>40848</v>
      </c>
      <c r="B13" s="1">
        <v>1664</v>
      </c>
      <c r="C13" s="1">
        <v>1509496.33</v>
      </c>
      <c r="D13" s="1">
        <f>monthly_revenue[[#This Row],[Total_Revenue]]/monthly_revenue[[#This Row],[ActiveCustomers]]</f>
        <v>907.14923677884622</v>
      </c>
    </row>
    <row r="14" spans="1:4" ht="21" x14ac:dyDescent="0.5">
      <c r="A14" s="3">
        <v>40878</v>
      </c>
      <c r="B14" s="1">
        <v>615</v>
      </c>
      <c r="C14" s="1">
        <v>638792.68000000005</v>
      </c>
      <c r="D14" s="1">
        <f>monthly_revenue[[#This Row],[Total_Revenue]]/monthly_revenue[[#This Row],[ActiveCustomers]]</f>
        <v>1038.6872845528455</v>
      </c>
    </row>
    <row r="22" spans="1:7" ht="21" x14ac:dyDescent="0.5">
      <c r="A22" s="5" t="s">
        <v>24</v>
      </c>
      <c r="B22" s="5"/>
      <c r="C22" s="5"/>
      <c r="E22" s="5" t="s">
        <v>25</v>
      </c>
      <c r="F22" s="5"/>
      <c r="G22" s="5"/>
    </row>
    <row r="23" spans="1:7" ht="21" x14ac:dyDescent="0.5">
      <c r="A23" s="2" t="s">
        <v>23</v>
      </c>
      <c r="B23" s="2" t="s">
        <v>15</v>
      </c>
      <c r="C23" s="1" t="s">
        <v>16</v>
      </c>
      <c r="E23" s="2" t="s">
        <v>22</v>
      </c>
      <c r="F23" s="2" t="s">
        <v>15</v>
      </c>
      <c r="G23" s="1" t="s">
        <v>19</v>
      </c>
    </row>
    <row r="24" spans="1:7" ht="21" x14ac:dyDescent="0.5">
      <c r="A24" s="1" t="s">
        <v>17</v>
      </c>
      <c r="B24" s="1" t="s">
        <v>14</v>
      </c>
      <c r="C24" s="1">
        <v>823746.14</v>
      </c>
      <c r="E24" s="1" t="s">
        <v>17</v>
      </c>
      <c r="F24" s="1" t="s">
        <v>14</v>
      </c>
      <c r="G24" s="1">
        <v>885</v>
      </c>
    </row>
    <row r="25" spans="1:7" ht="21" x14ac:dyDescent="0.5">
      <c r="A25" s="1" t="s">
        <v>20</v>
      </c>
      <c r="B25" s="1"/>
      <c r="C25" s="1">
        <v>823746.14</v>
      </c>
      <c r="E25" s="1" t="s">
        <v>18</v>
      </c>
      <c r="F25" s="1" t="s">
        <v>3</v>
      </c>
      <c r="G25" s="1">
        <v>741</v>
      </c>
    </row>
    <row r="26" spans="1:7" ht="21" x14ac:dyDescent="0.5">
      <c r="A26" s="1" t="s">
        <v>18</v>
      </c>
      <c r="B26" s="1" t="s">
        <v>3</v>
      </c>
      <c r="C26" s="1">
        <v>691364.56</v>
      </c>
      <c r="E26" s="1"/>
      <c r="F26" s="1" t="s">
        <v>4</v>
      </c>
      <c r="G26" s="1">
        <v>758</v>
      </c>
    </row>
    <row r="27" spans="1:7" ht="21" x14ac:dyDescent="0.5">
      <c r="A27" s="1"/>
      <c r="B27" s="1" t="s">
        <v>4</v>
      </c>
      <c r="C27" s="1">
        <v>523631.89</v>
      </c>
      <c r="E27" s="1"/>
      <c r="F27" s="1" t="s">
        <v>5</v>
      </c>
      <c r="G27" s="1">
        <v>974</v>
      </c>
    </row>
    <row r="28" spans="1:7" ht="21" x14ac:dyDescent="0.5">
      <c r="A28" s="1"/>
      <c r="B28" s="1" t="s">
        <v>5</v>
      </c>
      <c r="C28" s="1">
        <v>717639.36</v>
      </c>
      <c r="E28" s="1"/>
      <c r="F28" s="1" t="s">
        <v>6</v>
      </c>
      <c r="G28" s="1">
        <v>856</v>
      </c>
    </row>
    <row r="29" spans="1:7" ht="21" x14ac:dyDescent="0.5">
      <c r="A29" s="1"/>
      <c r="B29" s="1" t="s">
        <v>6</v>
      </c>
      <c r="C29" s="1">
        <v>537808.62</v>
      </c>
      <c r="E29" s="1"/>
      <c r="F29" s="1" t="s">
        <v>7</v>
      </c>
      <c r="G29" s="1">
        <v>1056</v>
      </c>
    </row>
    <row r="30" spans="1:7" ht="21" x14ac:dyDescent="0.5">
      <c r="A30" s="1"/>
      <c r="B30" s="1" t="s">
        <v>7</v>
      </c>
      <c r="C30" s="1">
        <v>770536.02</v>
      </c>
      <c r="E30" s="1"/>
      <c r="F30" s="1" t="s">
        <v>8</v>
      </c>
      <c r="G30" s="1">
        <v>991</v>
      </c>
    </row>
    <row r="31" spans="1:7" ht="21" x14ac:dyDescent="0.5">
      <c r="A31" s="1"/>
      <c r="B31" s="1" t="s">
        <v>8</v>
      </c>
      <c r="C31" s="1">
        <v>761739.9</v>
      </c>
      <c r="E31" s="1"/>
      <c r="F31" s="1" t="s">
        <v>9</v>
      </c>
      <c r="G31" s="1">
        <v>949</v>
      </c>
    </row>
    <row r="32" spans="1:7" ht="21" x14ac:dyDescent="0.5">
      <c r="A32" s="1"/>
      <c r="B32" s="1" t="s">
        <v>9</v>
      </c>
      <c r="C32" s="1">
        <v>719221.19</v>
      </c>
      <c r="E32" s="1"/>
      <c r="F32" s="1" t="s">
        <v>10</v>
      </c>
      <c r="G32" s="1">
        <v>935</v>
      </c>
    </row>
    <row r="33" spans="1:7" ht="21" x14ac:dyDescent="0.5">
      <c r="A33" s="1"/>
      <c r="B33" s="1" t="s">
        <v>10</v>
      </c>
      <c r="C33" s="1">
        <v>759138.38</v>
      </c>
      <c r="E33" s="1"/>
      <c r="F33" s="1" t="s">
        <v>11</v>
      </c>
      <c r="G33" s="1">
        <v>1266</v>
      </c>
    </row>
    <row r="34" spans="1:7" ht="21" x14ac:dyDescent="0.5">
      <c r="A34" s="1"/>
      <c r="B34" s="1" t="s">
        <v>11</v>
      </c>
      <c r="C34" s="1">
        <v>1058590.17</v>
      </c>
      <c r="E34" s="1"/>
      <c r="F34" s="1" t="s">
        <v>12</v>
      </c>
      <c r="G34" s="1">
        <v>1364</v>
      </c>
    </row>
    <row r="35" spans="1:7" ht="21" x14ac:dyDescent="0.5">
      <c r="A35" s="1"/>
      <c r="B35" s="1" t="s">
        <v>12</v>
      </c>
      <c r="C35" s="1">
        <v>1154979.3</v>
      </c>
      <c r="E35" s="1"/>
      <c r="F35" s="1" t="s">
        <v>13</v>
      </c>
      <c r="G35" s="1">
        <v>1664</v>
      </c>
    </row>
    <row r="36" spans="1:7" ht="21" x14ac:dyDescent="0.5">
      <c r="A36" s="1"/>
      <c r="B36" s="1" t="s">
        <v>13</v>
      </c>
      <c r="C36" s="1">
        <v>1509496.33</v>
      </c>
      <c r="E36" s="1"/>
      <c r="F36" s="1" t="s">
        <v>14</v>
      </c>
      <c r="G36" s="1">
        <v>615</v>
      </c>
    </row>
    <row r="37" spans="1:7" ht="21" x14ac:dyDescent="0.5">
      <c r="A37" s="1"/>
      <c r="B37" s="1" t="s">
        <v>14</v>
      </c>
      <c r="C37" s="1">
        <v>638792.68000000005</v>
      </c>
      <c r="E37" s="1" t="s">
        <v>2</v>
      </c>
      <c r="F37" s="1"/>
      <c r="G37" s="1">
        <v>13054</v>
      </c>
    </row>
    <row r="38" spans="1:7" ht="21" x14ac:dyDescent="0.5">
      <c r="A38" s="1" t="s">
        <v>21</v>
      </c>
      <c r="B38" s="1"/>
      <c r="C38" s="1">
        <v>9842938.3999999985</v>
      </c>
    </row>
    <row r="39" spans="1:7" ht="21" x14ac:dyDescent="0.5">
      <c r="A39" s="1" t="s">
        <v>2</v>
      </c>
      <c r="B39" s="1"/>
      <c r="C39" s="1">
        <v>10666684.539999999</v>
      </c>
    </row>
  </sheetData>
  <mergeCells count="2">
    <mergeCell ref="E22:G22"/>
    <mergeCell ref="A22:C22"/>
  </mergeCells>
  <pageMargins left="0.7" right="0.7" top="0.75" bottom="0.75" header="0.3" footer="0.3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0A8B-FE5C-4E2A-978C-9B8752E291CD}">
  <dimension ref="A1"/>
  <sheetViews>
    <sheetView tabSelected="1" topLeftCell="A4" workbookViewId="0">
      <selection activeCell="E60" sqref="E6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2AEE8-726F-46A0-B330-F9FA13BD1A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Revenue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Ammapalli Khyathi Srinivas</dc:creator>
  <cp:lastModifiedBy>Ammapalli Khyathi Srinivas</cp:lastModifiedBy>
  <dcterms:created xsi:type="dcterms:W3CDTF">2026-02-26T18:33:19Z</dcterms:created>
  <dcterms:modified xsi:type="dcterms:W3CDTF">2026-03-03T10:53:24Z</dcterms:modified>
</cp:coreProperties>
</file>